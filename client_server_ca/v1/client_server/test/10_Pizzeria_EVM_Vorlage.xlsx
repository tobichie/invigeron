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olf/Lehrauftrag/VeranstaltungenSS22/09062022/"/>
    </mc:Choice>
  </mc:AlternateContent>
  <xr:revisionPtr revIDLastSave="0" documentId="13_ncr:1_{F9A49659-B466-6841-A933-350B9E8C973A}" xr6:coauthVersionLast="47" xr6:coauthVersionMax="47" xr10:uidLastSave="{00000000-0000-0000-0000-000000000000}"/>
  <bookViews>
    <workbookView xWindow="4380" yWindow="1180" windowWidth="39260" windowHeight="22900" xr2:uid="{A6125722-BA97-4F10-A90C-4198B4429223}"/>
  </bookViews>
  <sheets>
    <sheet name="EVM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9" i="4" l="1"/>
  <c r="Y19" i="4"/>
  <c r="AA19" i="4" l="1"/>
  <c r="AC19" i="4"/>
</calcChain>
</file>

<file path=xl/sharedStrings.xml><?xml version="1.0" encoding="utf-8"?>
<sst xmlns="http://schemas.openxmlformats.org/spreadsheetml/2006/main" count="79" uniqueCount="70">
  <si>
    <t>1.3.1.</t>
  </si>
  <si>
    <t>1.3.2.</t>
  </si>
  <si>
    <t>PSP-Code</t>
  </si>
  <si>
    <t>Phase bzw. Arbeitspaket</t>
  </si>
  <si>
    <t>wk</t>
  </si>
  <si>
    <t>Kalenderwochen</t>
  </si>
  <si>
    <t>t€</t>
  </si>
  <si>
    <t>Budget at Completion (BAC)</t>
  </si>
  <si>
    <t>Planned Value (PV)</t>
  </si>
  <si>
    <t>Actual Cost (AC)</t>
  </si>
  <si>
    <t>Earned Value (EV)</t>
  </si>
  <si>
    <t>Cost Variance (CV)</t>
  </si>
  <si>
    <t>Schedule Variance (SV)</t>
  </si>
  <si>
    <t>Cost Performance Indicator (CPI)</t>
  </si>
  <si>
    <t>Schedule Performance Indicator (SPI)</t>
  </si>
  <si>
    <t>Estimation to Completion (ETC)</t>
  </si>
  <si>
    <t>Estimation at Completion (EAC)</t>
  </si>
  <si>
    <t>Estimation at Completione time (EACt)</t>
  </si>
  <si>
    <t>Variance at Completion (VAC)</t>
  </si>
  <si>
    <t>EV - AC</t>
  </si>
  <si>
    <t>EV - PV</t>
  </si>
  <si>
    <t>AC + ETC</t>
  </si>
  <si>
    <t>Total Duration</t>
  </si>
  <si>
    <t>BAC - EAC</t>
  </si>
  <si>
    <t>EV / AC</t>
  </si>
  <si>
    <t>EV / PV</t>
  </si>
  <si>
    <t>(BAC - EV) / CPI</t>
  </si>
  <si>
    <t>Total duration / SPI</t>
  </si>
  <si>
    <t>&lt;für Berechnung fehlen Kurvenverläufe&gt;</t>
  </si>
  <si>
    <t>Interpretation</t>
  </si>
  <si>
    <t>SUMME</t>
  </si>
  <si>
    <t>Schedule Variance time (SVt)</t>
  </si>
  <si>
    <t>Fertigstellungsgrad (SOLL)</t>
  </si>
  <si>
    <t>Fertigstellungsgrad (IST)</t>
  </si>
  <si>
    <t>1.1.2.</t>
  </si>
  <si>
    <t>1.1.1.</t>
  </si>
  <si>
    <t>1.1.3.</t>
  </si>
  <si>
    <t>Grobkonzept erstellen</t>
  </si>
  <si>
    <t>Finanzierungskonzept erstellen</t>
  </si>
  <si>
    <t>Marketing Mix erarbeiten</t>
  </si>
  <si>
    <t>Organisatorisches klären</t>
  </si>
  <si>
    <t>Einkaufskonzept erstellen</t>
  </si>
  <si>
    <t>Räumlichkeiten suchen</t>
  </si>
  <si>
    <t>Personal suchen</t>
  </si>
  <si>
    <t>1.1.4.</t>
  </si>
  <si>
    <t>1.1.5.</t>
  </si>
  <si>
    <t>1.1.6.</t>
  </si>
  <si>
    <t>1.1.7.</t>
  </si>
  <si>
    <t>1.2.1.</t>
  </si>
  <si>
    <t>1.2.2.</t>
  </si>
  <si>
    <t>1.2.3.</t>
  </si>
  <si>
    <t>1.2.4.</t>
  </si>
  <si>
    <t>1.2.5.</t>
  </si>
  <si>
    <t>1.2.6.</t>
  </si>
  <si>
    <t>Speisekarte erstellen</t>
  </si>
  <si>
    <t>Räumlichkeiten renovieren</t>
  </si>
  <si>
    <t>Zutaten einkaufen</t>
  </si>
  <si>
    <t>Personal einstellen</t>
  </si>
  <si>
    <t>Werbung umsetzen</t>
  </si>
  <si>
    <t>Eröffnung planen</t>
  </si>
  <si>
    <t>Mitarbeiter einweisen</t>
  </si>
  <si>
    <t>Feedback sammeln</t>
  </si>
  <si>
    <t>Januar</t>
  </si>
  <si>
    <t>Februar</t>
  </si>
  <si>
    <t>März</t>
  </si>
  <si>
    <t>April</t>
  </si>
  <si>
    <t>Mai</t>
  </si>
  <si>
    <t>Unfertige Leistung [Personentagen]</t>
  </si>
  <si>
    <t>Fertige Leistung [Personentagen]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</si>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</sst>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2" xfId="0" applyFill="1" applyBorder="1"/>
    <xf numFmtId="0" fontId="0" fillId="0" borderId="5" xfId="0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0" borderId="5" xfId="0" applyBorder="1"/>
    <xf numFmtId="16" fontId="0" fillId="2" borderId="1" xfId="0" quotePrefix="1" applyNumberFormat="1" applyFill="1" applyBorder="1"/>
    <xf numFmtId="0" fontId="0" fillId="0" borderId="1" xfId="0" applyBorder="1"/>
    <xf numFmtId="0" fontId="0" fillId="2" borderId="2" xfId="0" quotePrefix="1" applyFill="1" applyBorder="1"/>
    <xf numFmtId="0" fontId="0" fillId="0" borderId="2" xfId="0" applyBorder="1"/>
    <xf numFmtId="0" fontId="0" fillId="0" borderId="9" xfId="0" quotePrefix="1" applyBorder="1"/>
    <xf numFmtId="0" fontId="0" fillId="0" borderId="10" xfId="0" applyBorder="1"/>
    <xf numFmtId="0" fontId="0" fillId="0" borderId="3" xfId="0" applyBorder="1"/>
    <xf numFmtId="2" fontId="0" fillId="0" borderId="2" xfId="0" applyNumberFormat="1" applyBorder="1"/>
    <xf numFmtId="0" fontId="0" fillId="0" borderId="2" xfId="0" quotePrefix="1" applyBorder="1"/>
    <xf numFmtId="9" fontId="0" fillId="0" borderId="2" xfId="1" applyFont="1" applyBorder="1"/>
    <xf numFmtId="9" fontId="0" fillId="0" borderId="1" xfId="1" applyFont="1" applyBorder="1"/>
    <xf numFmtId="9" fontId="0" fillId="0" borderId="6" xfId="1" applyFont="1" applyBorder="1"/>
    <xf numFmtId="0" fontId="2" fillId="0" borderId="10" xfId="0" quotePrefix="1" applyFont="1" applyBorder="1" applyAlignment="1">
      <alignment horizontal="right"/>
    </xf>
    <xf numFmtId="2" fontId="0" fillId="0" borderId="1" xfId="0" applyNumberFormat="1" applyBorder="1"/>
    <xf numFmtId="2" fontId="0" fillId="0" borderId="6" xfId="0" applyNumberFormat="1" applyBorder="1"/>
    <xf numFmtId="2" fontId="2" fillId="0" borderId="1" xfId="0" applyNumberFormat="1" applyFont="1" applyBorder="1"/>
    <xf numFmtId="0" fontId="0" fillId="0" borderId="6" xfId="0" applyFont="1" applyBorder="1"/>
    <xf numFmtId="0" fontId="3" fillId="0" borderId="1" xfId="0" applyFont="1" applyFill="1" applyBorder="1"/>
    <xf numFmtId="0" fontId="3" fillId="0" borderId="4" xfId="0" applyFont="1" applyFill="1" applyBorder="1"/>
    <xf numFmtId="0" fontId="3" fillId="0" borderId="2" xfId="0" applyFont="1" applyFill="1" applyBorder="1"/>
    <xf numFmtId="14" fontId="0" fillId="2" borderId="2" xfId="0" quotePrefix="1" applyNumberFormat="1" applyFill="1" applyBorder="1"/>
    <xf numFmtId="16" fontId="0" fillId="2" borderId="1" xfId="0" quotePrefix="1" applyNumberFormat="1" applyFont="1" applyFill="1" applyBorder="1"/>
    <xf numFmtId="0" fontId="0" fillId="2" borderId="2" xfId="0" quotePrefix="1" applyFont="1" applyFill="1" applyBorder="1"/>
    <xf numFmtId="0" fontId="3" fillId="3" borderId="2" xfId="0" applyFont="1" applyFill="1" applyBorder="1"/>
    <xf numFmtId="0" fontId="3" fillId="5" borderId="2" xfId="0" applyFont="1" applyFill="1" applyBorder="1"/>
    <xf numFmtId="0" fontId="0" fillId="2" borderId="6" xfId="0" applyFill="1" applyBorder="1" applyAlignment="1">
      <alignment horizontal="right"/>
    </xf>
    <xf numFmtId="0" fontId="0" fillId="3" borderId="0" xfId="0" applyFill="1"/>
    <xf numFmtId="0" fontId="4" fillId="4" borderId="0" xfId="0" applyFont="1" applyFill="1"/>
    <xf numFmtId="0" fontId="4" fillId="4" borderId="8" xfId="0" applyFont="1" applyFill="1" applyBorder="1"/>
    <xf numFmtId="0" fontId="4" fillId="4" borderId="2" xfId="0" applyFont="1" applyFill="1" applyBorder="1"/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66675</xdr:rowOff>
    </xdr:from>
    <xdr:to>
      <xdr:col>7</xdr:col>
      <xdr:colOff>9525</xdr:colOff>
      <xdr:row>19</xdr:row>
      <xdr:rowOff>114300</xdr:rowOff>
    </xdr:to>
    <xdr:cxnSp macro="">
      <xdr:nvCxnSpPr>
        <xdr:cNvPr id="2" name="Gerader Verbinder 1">
          <a:extLst>
            <a:ext uri="{FF2B5EF4-FFF2-40B4-BE49-F238E27FC236}">
              <a16:creationId xmlns:a16="http://schemas.microsoft.com/office/drawing/2014/main" id="{3B913BAE-FEC8-4E39-814D-6BC34C46A656}"/>
            </a:ext>
          </a:extLst>
        </xdr:cNvPr>
        <xdr:cNvCxnSpPr/>
      </xdr:nvCxnSpPr>
      <xdr:spPr>
        <a:xfrm>
          <a:off x="5038725" y="66675"/>
          <a:ext cx="0" cy="3692525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0</xdr:colOff>
      <xdr:row>34</xdr:row>
      <xdr:rowOff>9525</xdr:rowOff>
    </xdr:from>
    <xdr:to>
      <xdr:col>27</xdr:col>
      <xdr:colOff>217967</xdr:colOff>
      <xdr:row>53</xdr:row>
      <xdr:rowOff>76200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564065A-182B-4D11-A9B8-17E1508B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77625" y="6191250"/>
          <a:ext cx="5113817" cy="350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E6A5-AC42-4D35-A1CB-F18132FD3E16}">
  <dimension ref="B2:AE33"/>
  <sheetViews>
    <sheetView tabSelected="1" zoomScaleNormal="100" workbookViewId="0"/>
  </sheetViews>
  <sheetFormatPr baseColWidth="10" defaultRowHeight="15" x14ac:dyDescent="0.2"/>
  <cols>
    <col min="2" max="2" width="9.6640625" bestFit="1" customWidth="1"/>
    <col min="3" max="3" width="30.83203125" bestFit="1" customWidth="1"/>
    <col min="4" max="23" width="3.6640625" bestFit="1" customWidth="1"/>
    <col min="24" max="24" width="4.6640625" bestFit="1" customWidth="1"/>
    <col min="25" max="25" width="24.1640625" bestFit="1" customWidth="1"/>
    <col min="26" max="26" width="33.33203125" bestFit="1" customWidth="1"/>
    <col min="27" max="27" width="35.1640625" bestFit="1" customWidth="1"/>
    <col min="28" max="28" width="22.6640625" bestFit="1" customWidth="1"/>
    <col min="29" max="29" width="15.83203125" bestFit="1" customWidth="1"/>
    <col min="30" max="30" width="14" bestFit="1" customWidth="1"/>
    <col min="31" max="31" width="81.83203125" bestFit="1" customWidth="1"/>
  </cols>
  <sheetData>
    <row r="2" spans="2:30" x14ac:dyDescent="0.2">
      <c r="B2" s="1" t="s">
        <v>2</v>
      </c>
      <c r="C2" s="1" t="s">
        <v>3</v>
      </c>
      <c r="D2" s="36" t="s">
        <v>62</v>
      </c>
      <c r="E2" s="37"/>
      <c r="F2" s="37"/>
      <c r="G2" s="37"/>
      <c r="H2" s="38" t="s">
        <v>63</v>
      </c>
      <c r="I2" s="37"/>
      <c r="J2" s="37"/>
      <c r="K2" s="37"/>
      <c r="L2" s="38" t="s">
        <v>64</v>
      </c>
      <c r="M2" s="37"/>
      <c r="N2" s="37"/>
      <c r="O2" s="37"/>
      <c r="P2" s="38" t="s">
        <v>65</v>
      </c>
      <c r="Q2" s="37"/>
      <c r="R2" s="37"/>
      <c r="S2" s="37"/>
      <c r="T2" s="38" t="s">
        <v>66</v>
      </c>
      <c r="U2" s="37"/>
      <c r="V2" s="37"/>
      <c r="W2" s="37"/>
      <c r="X2" s="2"/>
      <c r="Y2" s="1" t="s">
        <v>7</v>
      </c>
      <c r="Z2" s="1" t="s">
        <v>32</v>
      </c>
      <c r="AA2" s="1" t="s">
        <v>8</v>
      </c>
      <c r="AB2" s="1" t="s">
        <v>33</v>
      </c>
      <c r="AC2" s="1" t="s">
        <v>10</v>
      </c>
      <c r="AD2" s="1" t="s">
        <v>9</v>
      </c>
    </row>
    <row r="3" spans="2:30" ht="16" thickBot="1" x14ac:dyDescent="0.25">
      <c r="B3" s="3"/>
      <c r="C3" s="31" t="s">
        <v>5</v>
      </c>
      <c r="D3" s="4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3">
        <v>7</v>
      </c>
      <c r="K3" s="3">
        <v>8</v>
      </c>
      <c r="L3" s="3">
        <v>9</v>
      </c>
      <c r="M3" s="3">
        <v>10</v>
      </c>
      <c r="N3" s="3">
        <v>11</v>
      </c>
      <c r="O3" s="3">
        <v>12</v>
      </c>
      <c r="P3" s="3">
        <v>13</v>
      </c>
      <c r="Q3" s="3">
        <v>14</v>
      </c>
      <c r="R3" s="3">
        <v>15</v>
      </c>
      <c r="S3" s="3">
        <v>16</v>
      </c>
      <c r="T3" s="3">
        <v>17</v>
      </c>
      <c r="U3" s="3">
        <v>18</v>
      </c>
      <c r="V3" s="3">
        <v>19</v>
      </c>
      <c r="W3" s="3">
        <v>20</v>
      </c>
      <c r="X3" s="5"/>
      <c r="Y3" s="3" t="s">
        <v>6</v>
      </c>
      <c r="Z3" s="3"/>
      <c r="AA3" s="3" t="s">
        <v>6</v>
      </c>
      <c r="AB3" s="3"/>
      <c r="AC3" s="3" t="s">
        <v>6</v>
      </c>
      <c r="AD3" s="3" t="s">
        <v>6</v>
      </c>
    </row>
    <row r="4" spans="2:30" x14ac:dyDescent="0.2">
      <c r="B4" s="6" t="s">
        <v>35</v>
      </c>
      <c r="C4" s="27" t="s">
        <v>37</v>
      </c>
      <c r="D4" s="34">
        <v>10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5"/>
      <c r="Y4" s="19">
        <v>5</v>
      </c>
      <c r="Z4" s="16"/>
      <c r="AA4" s="19"/>
      <c r="AB4" s="16"/>
      <c r="AC4" s="19"/>
      <c r="AD4" s="19">
        <v>8</v>
      </c>
    </row>
    <row r="5" spans="2:30" x14ac:dyDescent="0.2">
      <c r="B5" s="26" t="s">
        <v>34</v>
      </c>
      <c r="C5" s="28" t="s">
        <v>38</v>
      </c>
      <c r="D5" s="24"/>
      <c r="E5" s="25"/>
      <c r="F5" s="25"/>
      <c r="G5" s="35">
        <v>10</v>
      </c>
      <c r="H5" s="35">
        <v>10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5"/>
      <c r="Y5" s="13">
        <v>22.5</v>
      </c>
      <c r="Z5" s="15"/>
      <c r="AA5" s="13"/>
      <c r="AB5" s="15"/>
      <c r="AC5" s="13"/>
      <c r="AD5" s="13">
        <v>25</v>
      </c>
    </row>
    <row r="6" spans="2:30" x14ac:dyDescent="0.2">
      <c r="B6" s="8" t="s">
        <v>36</v>
      </c>
      <c r="C6" s="28" t="s">
        <v>39</v>
      </c>
      <c r="D6" s="24"/>
      <c r="E6" s="25"/>
      <c r="F6" s="25"/>
      <c r="G6" s="29">
        <v>10</v>
      </c>
      <c r="H6" s="29">
        <v>10</v>
      </c>
      <c r="I6" s="29">
        <v>10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5"/>
      <c r="Y6" s="13">
        <v>15</v>
      </c>
      <c r="Z6" s="15"/>
      <c r="AA6" s="13"/>
      <c r="AB6" s="15"/>
      <c r="AC6" s="13"/>
      <c r="AD6" s="13">
        <v>0</v>
      </c>
    </row>
    <row r="7" spans="2:30" x14ac:dyDescent="0.2">
      <c r="B7" s="8" t="s">
        <v>44</v>
      </c>
      <c r="C7" s="28" t="s">
        <v>40</v>
      </c>
      <c r="D7" s="24"/>
      <c r="E7" s="35">
        <v>10</v>
      </c>
      <c r="F7" s="35">
        <v>10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5"/>
      <c r="Y7" s="13">
        <v>15</v>
      </c>
      <c r="Z7" s="15"/>
      <c r="AA7" s="13"/>
      <c r="AB7" s="15"/>
      <c r="AC7" s="13"/>
      <c r="AD7" s="13">
        <v>15</v>
      </c>
    </row>
    <row r="8" spans="2:30" x14ac:dyDescent="0.2">
      <c r="B8" s="8" t="s">
        <v>45</v>
      </c>
      <c r="C8" s="28" t="s">
        <v>41</v>
      </c>
      <c r="D8" s="24"/>
      <c r="E8" s="25"/>
      <c r="F8" s="25"/>
      <c r="G8" s="25"/>
      <c r="H8" s="29">
        <v>10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5"/>
      <c r="Y8" s="13">
        <v>5</v>
      </c>
      <c r="Z8" s="15"/>
      <c r="AA8" s="13"/>
      <c r="AB8" s="15"/>
      <c r="AC8" s="13"/>
      <c r="AD8" s="13">
        <v>0</v>
      </c>
    </row>
    <row r="9" spans="2:30" x14ac:dyDescent="0.2">
      <c r="B9" s="8" t="s">
        <v>46</v>
      </c>
      <c r="C9" s="28" t="s">
        <v>42</v>
      </c>
      <c r="D9" s="24"/>
      <c r="E9" s="35">
        <v>5</v>
      </c>
      <c r="F9" s="35">
        <v>5</v>
      </c>
      <c r="G9" s="35">
        <v>5</v>
      </c>
      <c r="H9" s="29">
        <v>5</v>
      </c>
      <c r="I9" s="29">
        <v>5</v>
      </c>
      <c r="J9" s="29">
        <v>5</v>
      </c>
      <c r="K9" s="29">
        <v>5</v>
      </c>
      <c r="L9" s="29">
        <v>5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5"/>
      <c r="Y9" s="13">
        <v>25</v>
      </c>
      <c r="Z9" s="15"/>
      <c r="AA9" s="13"/>
      <c r="AB9" s="15"/>
      <c r="AC9" s="13"/>
      <c r="AD9" s="13">
        <v>20</v>
      </c>
    </row>
    <row r="10" spans="2:30" x14ac:dyDescent="0.2">
      <c r="B10" s="8" t="s">
        <v>47</v>
      </c>
      <c r="C10" s="28" t="s">
        <v>43</v>
      </c>
      <c r="D10" s="24"/>
      <c r="E10" s="25"/>
      <c r="F10" s="25"/>
      <c r="G10" s="25"/>
      <c r="H10" s="35">
        <v>5</v>
      </c>
      <c r="I10" s="35">
        <v>5</v>
      </c>
      <c r="J10" s="29">
        <v>5</v>
      </c>
      <c r="K10" s="29">
        <v>5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5"/>
      <c r="Y10" s="13">
        <v>10</v>
      </c>
      <c r="Z10" s="15"/>
      <c r="AA10" s="13"/>
      <c r="AB10" s="15"/>
      <c r="AC10" s="13"/>
      <c r="AD10" s="13">
        <v>6</v>
      </c>
    </row>
    <row r="11" spans="2:30" x14ac:dyDescent="0.2">
      <c r="B11" s="8" t="s">
        <v>48</v>
      </c>
      <c r="C11" s="28" t="s">
        <v>54</v>
      </c>
      <c r="D11" s="24"/>
      <c r="E11" s="25"/>
      <c r="F11" s="25"/>
      <c r="G11" s="25"/>
      <c r="H11" s="25"/>
      <c r="I11" s="25"/>
      <c r="J11" s="29">
        <v>5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5"/>
      <c r="Y11" s="13">
        <v>2.5</v>
      </c>
      <c r="Z11" s="15"/>
      <c r="AA11" s="13"/>
      <c r="AB11" s="15"/>
      <c r="AC11" s="13"/>
      <c r="AD11" s="13">
        <v>0</v>
      </c>
    </row>
    <row r="12" spans="2:30" x14ac:dyDescent="0.2">
      <c r="B12" s="8" t="s">
        <v>49</v>
      </c>
      <c r="C12" s="28" t="s">
        <v>55</v>
      </c>
      <c r="D12" s="24"/>
      <c r="E12" s="25"/>
      <c r="F12" s="25"/>
      <c r="G12" s="25"/>
      <c r="H12" s="25"/>
      <c r="I12" s="25"/>
      <c r="J12" s="30"/>
      <c r="K12" s="25"/>
      <c r="L12" s="25"/>
      <c r="M12" s="29">
        <v>20</v>
      </c>
      <c r="N12" s="29">
        <v>20</v>
      </c>
      <c r="O12" s="29">
        <v>20</v>
      </c>
      <c r="P12" s="29">
        <v>20</v>
      </c>
      <c r="Q12" s="25"/>
      <c r="R12" s="25"/>
      <c r="S12" s="25"/>
      <c r="T12" s="25"/>
      <c r="U12" s="25"/>
      <c r="V12" s="25"/>
      <c r="W12" s="25"/>
      <c r="X12" s="5"/>
      <c r="Y12" s="13">
        <v>30</v>
      </c>
      <c r="Z12" s="15"/>
      <c r="AA12" s="13"/>
      <c r="AB12" s="15"/>
      <c r="AC12" s="13"/>
      <c r="AD12" s="13">
        <v>0</v>
      </c>
    </row>
    <row r="13" spans="2:30" x14ac:dyDescent="0.2">
      <c r="B13" s="8" t="s">
        <v>50</v>
      </c>
      <c r="C13" s="28" t="s">
        <v>56</v>
      </c>
      <c r="D13" s="24"/>
      <c r="E13" s="25"/>
      <c r="F13" s="25"/>
      <c r="G13" s="25"/>
      <c r="H13" s="25"/>
      <c r="I13" s="25"/>
      <c r="J13" s="25"/>
      <c r="K13" s="29">
        <v>5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5"/>
      <c r="Y13" s="13">
        <v>5</v>
      </c>
      <c r="Z13" s="15"/>
      <c r="AA13" s="13"/>
      <c r="AB13" s="15"/>
      <c r="AC13" s="13"/>
      <c r="AD13" s="13">
        <v>0</v>
      </c>
    </row>
    <row r="14" spans="2:30" x14ac:dyDescent="0.2">
      <c r="B14" s="8" t="s">
        <v>51</v>
      </c>
      <c r="C14" s="28" t="s">
        <v>57</v>
      </c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35">
        <v>5</v>
      </c>
      <c r="R14" s="29">
        <v>5</v>
      </c>
      <c r="S14" s="25"/>
      <c r="T14" s="25"/>
      <c r="U14" s="25"/>
      <c r="V14" s="25"/>
      <c r="W14" s="25"/>
      <c r="X14" s="5"/>
      <c r="Y14" s="13">
        <v>5</v>
      </c>
      <c r="Z14" s="15"/>
      <c r="AA14" s="13"/>
      <c r="AB14" s="15"/>
      <c r="AC14" s="13"/>
      <c r="AD14" s="13">
        <v>2.5</v>
      </c>
    </row>
    <row r="15" spans="2:30" x14ac:dyDescent="0.2">
      <c r="B15" s="8" t="s">
        <v>52</v>
      </c>
      <c r="C15" s="28" t="s">
        <v>58</v>
      </c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9">
        <v>15</v>
      </c>
      <c r="R15" s="25"/>
      <c r="S15" s="25"/>
      <c r="T15" s="25"/>
      <c r="U15" s="25"/>
      <c r="V15" s="25"/>
      <c r="W15" s="25"/>
      <c r="X15" s="5"/>
      <c r="Y15" s="13">
        <v>12.5</v>
      </c>
      <c r="Z15" s="15"/>
      <c r="AA15" s="13"/>
      <c r="AB15" s="15"/>
      <c r="AC15" s="13"/>
      <c r="AD15" s="13">
        <v>0</v>
      </c>
    </row>
    <row r="16" spans="2:30" x14ac:dyDescent="0.2">
      <c r="B16" s="8" t="s">
        <v>53</v>
      </c>
      <c r="C16" s="28" t="s">
        <v>59</v>
      </c>
      <c r="D16" s="24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9">
        <v>10</v>
      </c>
      <c r="S16" s="25"/>
      <c r="T16" s="25"/>
      <c r="U16" s="25"/>
      <c r="V16" s="25"/>
      <c r="W16" s="25"/>
      <c r="X16" s="5"/>
      <c r="Y16" s="13">
        <v>5</v>
      </c>
      <c r="Z16" s="15"/>
      <c r="AA16" s="13"/>
      <c r="AB16" s="15"/>
      <c r="AC16" s="13"/>
      <c r="AD16" s="13">
        <v>0</v>
      </c>
    </row>
    <row r="17" spans="2:31" x14ac:dyDescent="0.2">
      <c r="B17" s="8" t="s">
        <v>0</v>
      </c>
      <c r="C17" s="28" t="s">
        <v>60</v>
      </c>
      <c r="D17" s="24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9">
        <v>5</v>
      </c>
      <c r="T17" s="25"/>
      <c r="U17" s="25"/>
      <c r="V17" s="25"/>
      <c r="W17" s="25"/>
      <c r="X17" s="5"/>
      <c r="Y17" s="13">
        <v>2.5</v>
      </c>
      <c r="Z17" s="15"/>
      <c r="AA17" s="13"/>
      <c r="AB17" s="15"/>
      <c r="AC17" s="13"/>
      <c r="AD17" s="13">
        <v>0</v>
      </c>
    </row>
    <row r="18" spans="2:31" ht="16" thickBot="1" x14ac:dyDescent="0.25">
      <c r="B18" s="8" t="s">
        <v>1</v>
      </c>
      <c r="C18" s="28" t="s">
        <v>61</v>
      </c>
      <c r="D18" s="24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9">
        <v>5</v>
      </c>
      <c r="U18" s="25"/>
      <c r="V18" s="25"/>
      <c r="W18" s="25"/>
      <c r="X18" s="5"/>
      <c r="Y18" s="20">
        <v>2.5</v>
      </c>
      <c r="Z18" s="17"/>
      <c r="AA18" s="20"/>
      <c r="AB18" s="17"/>
      <c r="AC18" s="20"/>
      <c r="AD18" s="20">
        <v>0</v>
      </c>
    </row>
    <row r="19" spans="2:31" x14ac:dyDescent="0.2">
      <c r="B19" s="10"/>
      <c r="C19" s="18" t="s">
        <v>30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/>
      <c r="X19" s="5"/>
      <c r="Y19" s="21">
        <f>SUM(Y4:Y18)</f>
        <v>162.5</v>
      </c>
      <c r="Z19" s="7"/>
      <c r="AA19" s="21">
        <f>SUM(AA4:AA18)</f>
        <v>0</v>
      </c>
      <c r="AB19" s="7"/>
      <c r="AC19" s="21">
        <f>SUM(AC4:AC18)</f>
        <v>0</v>
      </c>
      <c r="AD19" s="21">
        <f>SUM(AD4:AD18)</f>
        <v>76.5</v>
      </c>
    </row>
    <row r="21" spans="2:31" x14ac:dyDescent="0.2">
      <c r="C21" s="32" t="s">
        <v>67</v>
      </c>
    </row>
    <row r="22" spans="2:31" x14ac:dyDescent="0.2">
      <c r="C22" s="33" t="s">
        <v>68</v>
      </c>
      <c r="Z22" s="1" t="s">
        <v>22</v>
      </c>
      <c r="AA22" s="9"/>
      <c r="AB22" s="9"/>
      <c r="AC22" s="9" t="s">
        <v>4</v>
      </c>
    </row>
    <row r="24" spans="2:31" ht="16" thickBot="1" x14ac:dyDescent="0.25">
      <c r="AE24" s="22" t="s">
        <v>29</v>
      </c>
    </row>
    <row r="25" spans="2:31" x14ac:dyDescent="0.2">
      <c r="Z25" s="1" t="s">
        <v>11</v>
      </c>
      <c r="AA25" s="9" t="s">
        <v>19</v>
      </c>
      <c r="AB25" s="13"/>
      <c r="AC25" s="9" t="s">
        <v>6</v>
      </c>
      <c r="AE25" s="7"/>
    </row>
    <row r="26" spans="2:31" x14ac:dyDescent="0.2">
      <c r="Z26" s="1" t="s">
        <v>12</v>
      </c>
      <c r="AA26" s="9" t="s">
        <v>20</v>
      </c>
      <c r="AB26" s="13"/>
      <c r="AC26" s="9" t="s">
        <v>6</v>
      </c>
      <c r="AE26" s="9"/>
    </row>
    <row r="27" spans="2:31" x14ac:dyDescent="0.2">
      <c r="Z27" s="1" t="s">
        <v>31</v>
      </c>
      <c r="AA27" s="14" t="s">
        <v>28</v>
      </c>
      <c r="AB27" s="14"/>
      <c r="AC27" s="14" t="s">
        <v>69</v>
      </c>
      <c r="AE27" s="14"/>
    </row>
    <row r="28" spans="2:31" x14ac:dyDescent="0.2">
      <c r="Z28" s="1" t="s">
        <v>13</v>
      </c>
      <c r="AA28" s="9" t="s">
        <v>24</v>
      </c>
      <c r="AB28" s="15"/>
      <c r="AC28" s="9"/>
      <c r="AE28" s="9"/>
    </row>
    <row r="29" spans="2:31" x14ac:dyDescent="0.2">
      <c r="Z29" s="1" t="s">
        <v>14</v>
      </c>
      <c r="AA29" s="9" t="s">
        <v>25</v>
      </c>
      <c r="AB29" s="15"/>
      <c r="AC29" s="9"/>
      <c r="AE29" s="9"/>
    </row>
    <row r="30" spans="2:31" x14ac:dyDescent="0.2">
      <c r="Z30" s="1" t="s">
        <v>15</v>
      </c>
      <c r="AA30" s="9" t="s">
        <v>26</v>
      </c>
      <c r="AB30" s="13"/>
      <c r="AC30" s="9" t="s">
        <v>6</v>
      </c>
      <c r="AE30" s="9"/>
    </row>
    <row r="31" spans="2:31" x14ac:dyDescent="0.2">
      <c r="Z31" s="1" t="s">
        <v>16</v>
      </c>
      <c r="AA31" s="9" t="s">
        <v>21</v>
      </c>
      <c r="AB31" s="13"/>
      <c r="AC31" s="9" t="s">
        <v>6</v>
      </c>
      <c r="AE31" s="9"/>
    </row>
    <row r="32" spans="2:31" x14ac:dyDescent="0.2">
      <c r="Z32" s="1" t="s">
        <v>17</v>
      </c>
      <c r="AA32" s="9" t="s">
        <v>27</v>
      </c>
      <c r="AB32" s="13"/>
      <c r="AC32" s="9" t="s">
        <v>4</v>
      </c>
      <c r="AE32" s="9"/>
    </row>
    <row r="33" spans="26:31" x14ac:dyDescent="0.2">
      <c r="Z33" s="1" t="s">
        <v>18</v>
      </c>
      <c r="AA33" s="9" t="s">
        <v>23</v>
      </c>
      <c r="AB33" s="13"/>
      <c r="AC33" s="9" t="s">
        <v>6</v>
      </c>
      <c r="AE33" s="9"/>
    </row>
  </sheetData>
  <mergeCells count="5">
    <mergeCell ref="D2:G2"/>
    <mergeCell ref="H2:K2"/>
    <mergeCell ref="L2:O2"/>
    <mergeCell ref="P2:S2"/>
    <mergeCell ref="T2:W2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Miller</dc:creator>
  <cp:lastModifiedBy>Rolf Miller</cp:lastModifiedBy>
  <cp:lastPrinted>2022-06-07T09:36:23Z</cp:lastPrinted>
  <dcterms:created xsi:type="dcterms:W3CDTF">2021-06-21T12:11:13Z</dcterms:created>
  <dcterms:modified xsi:type="dcterms:W3CDTF">2022-06-07T09:39:18Z</dcterms:modified>
</cp:coreProperties>
</file>